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_Jalon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C72B0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prévu vs réel, par jalon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'Dashboard'!$A$13:$A$18</f>
            </numRef>
          </cat>
          <val>
            <numRef>
              <f>'Dashboard'!$B$13:$B$18</f>
            </numRef>
          </val>
        </ser>
        <ser>
          <idx val="1"/>
          <order val="1"/>
          <tx>
            <strRef>
              <f>'Dashboard'!C12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'Dashboard'!$A$13:$A$18</f>
            </numRef>
          </cat>
          <val>
            <numRef>
              <f>'Dashboard'!$C$13:$C$18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des jalons par statut</a:t>
            </a:r>
          </a:p>
        </rich>
      </tx>
    </title>
    <plotArea>
      <pieChart>
        <varyColors val="1"/>
        <ser>
          <idx val="0"/>
          <order val="0"/>
          <tx>
            <strRef>
              <f>'Dashboard'!B21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'Dashboard'!$A$22:$A$24</f>
            </numRef>
          </cat>
          <val>
            <numRef>
              <f>'Dashboard'!$B$22:$B$24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29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Jalon</t>
        </is>
      </c>
      <c r="B1" s="1" t="inlineStr">
        <is>
          <t>Semaine début (prévu)</t>
        </is>
      </c>
      <c r="C1" s="1" t="inlineStr">
        <is>
          <t>Semaine fin (prévu)</t>
        </is>
      </c>
      <c r="D1" s="1" t="inlineStr">
        <is>
          <t>Semaine fin (réel)</t>
        </is>
      </c>
      <c r="E1" s="1" t="inlineStr">
        <is>
          <t>Statut</t>
        </is>
      </c>
      <c r="F1" s="1" t="inlineStr">
        <is>
          <t>Budget prévu (€)</t>
        </is>
      </c>
      <c r="G1" s="1" t="inlineStr">
        <is>
          <t>Budget réel (€)</t>
        </is>
      </c>
      <c r="H1" s="1" t="inlineStr">
        <is>
          <t>Écart budget (€)</t>
        </is>
      </c>
    </row>
    <row r="2">
      <c r="A2" t="inlineStr">
        <is>
          <t>Cadrage validé</t>
        </is>
      </c>
      <c r="B2" t="n">
        <v>0</v>
      </c>
      <c r="C2" t="n">
        <v>0</v>
      </c>
      <c r="D2" t="n">
        <v>0</v>
      </c>
      <c r="E2" s="2" t="inlineStr">
        <is>
          <t>Terminé</t>
        </is>
      </c>
      <c r="F2" t="n">
        <v>2000</v>
      </c>
      <c r="G2" t="n">
        <v>2000</v>
      </c>
      <c r="H2" t="n">
        <v>0</v>
      </c>
    </row>
    <row r="3">
      <c r="A3" t="inlineStr">
        <is>
          <t>Données consolidées</t>
        </is>
      </c>
      <c r="B3" t="n">
        <v>1</v>
      </c>
      <c r="C3" t="n">
        <v>3</v>
      </c>
      <c r="D3" t="n">
        <v>3</v>
      </c>
      <c r="E3" s="2" t="inlineStr">
        <is>
          <t>Terminé</t>
        </is>
      </c>
      <c r="F3" t="n">
        <v>8000</v>
      </c>
      <c r="G3" t="n">
        <v>9200</v>
      </c>
      <c r="H3" t="n">
        <v>1200</v>
      </c>
    </row>
    <row r="4">
      <c r="A4" t="inlineStr">
        <is>
          <t>Premier modèle</t>
        </is>
      </c>
      <c r="B4" t="n">
        <v>4</v>
      </c>
      <c r="C4" t="n">
        <v>6</v>
      </c>
      <c r="D4" t="n">
        <v>6</v>
      </c>
      <c r="E4" s="2" t="inlineStr">
        <is>
          <t>Terminé</t>
        </is>
      </c>
      <c r="F4" t="n">
        <v>10000</v>
      </c>
      <c r="G4" t="n">
        <v>9800</v>
      </c>
      <c r="H4" t="n">
        <v>-200</v>
      </c>
    </row>
    <row r="5">
      <c r="A5" t="inlineStr">
        <is>
          <t>Validation métier</t>
        </is>
      </c>
      <c r="B5" t="n">
        <v>7</v>
      </c>
      <c r="C5" t="n">
        <v>9</v>
      </c>
      <c r="D5" t="inlineStr">
        <is>
          <t>—</t>
        </is>
      </c>
      <c r="E5" s="3" t="inlineStr">
        <is>
          <t>En retard</t>
        </is>
      </c>
      <c r="F5" t="n">
        <v>6000</v>
      </c>
      <c r="G5" t="n">
        <v>4500</v>
      </c>
      <c r="H5" t="n">
        <v>-1500</v>
      </c>
    </row>
    <row r="6">
      <c r="A6" t="inlineStr">
        <is>
          <t>Intégration CRM</t>
        </is>
      </c>
      <c r="B6" t="n">
        <v>10</v>
      </c>
      <c r="C6" t="n">
        <v>12</v>
      </c>
      <c r="D6" t="inlineStr">
        <is>
          <t>—</t>
        </is>
      </c>
      <c r="E6" s="4" t="inlineStr">
        <is>
          <t>À venir</t>
        </is>
      </c>
      <c r="F6" t="n">
        <v>12000</v>
      </c>
      <c r="G6" t="n">
        <v>0</v>
      </c>
      <c r="H6" t="n">
        <v>0</v>
      </c>
    </row>
    <row r="7">
      <c r="A7" t="inlineStr">
        <is>
          <t>Bilan à 3 mois</t>
        </is>
      </c>
      <c r="B7" t="n">
        <v>24</v>
      </c>
      <c r="C7" t="n">
        <v>24</v>
      </c>
      <c r="D7" t="inlineStr">
        <is>
          <t>—</t>
        </is>
      </c>
      <c r="E7" s="4" t="inlineStr">
        <is>
          <t>À venir</t>
        </is>
      </c>
      <c r="F7" t="n">
        <v>2000</v>
      </c>
      <c r="G7" t="n">
        <v>0</v>
      </c>
      <c r="H7" t="n">
        <v>0</v>
      </c>
    </row>
    <row r="9">
      <c r="A9" s="5" t="inlineStr">
        <is>
          <t>TOTAL</t>
        </is>
      </c>
      <c r="F9" s="5">
        <f>SUM(F2:F8)</f>
        <v/>
      </c>
      <c r="G9" s="5">
        <f>SUM(G2:G8)</f>
        <v/>
      </c>
      <c r="H9" s="5">
        <f>SUM(H2:H8)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6" t="inlineStr">
        <is>
          <t>Tableau de bord — suivi du projet (semaine 14)</t>
        </is>
      </c>
    </row>
    <row r="3">
      <c r="A3" s="7" t="inlineStr">
        <is>
          <t>Indicateurs clés</t>
        </is>
      </c>
    </row>
    <row r="4">
      <c r="A4" s="5" t="inlineStr">
        <is>
          <t>Jalons terminés</t>
        </is>
      </c>
      <c r="B4" t="inlineStr">
        <is>
          <t>3 / 6</t>
        </is>
      </c>
    </row>
    <row r="5">
      <c r="A5" s="5" t="inlineStr">
        <is>
          <t>Jalons en retard</t>
        </is>
      </c>
      <c r="B5" t="n">
        <v>1</v>
      </c>
    </row>
    <row r="6">
      <c r="A6" s="5" t="inlineStr">
        <is>
          <t>Avancement (jalons terminés)</t>
        </is>
      </c>
      <c r="B6" t="inlineStr">
        <is>
          <t>50.0 %</t>
        </is>
      </c>
    </row>
    <row r="7">
      <c r="A7" s="5" t="inlineStr">
        <is>
          <t>Budget engagé (prévu)</t>
        </is>
      </c>
      <c r="B7" t="inlineStr">
        <is>
          <t>26000 €</t>
        </is>
      </c>
    </row>
    <row r="8">
      <c r="A8" s="5" t="inlineStr">
        <is>
          <t>Budget engagé (réel)</t>
        </is>
      </c>
      <c r="B8" t="inlineStr">
        <is>
          <t>25500 €</t>
        </is>
      </c>
    </row>
    <row r="9">
      <c r="A9" s="5" t="inlineStr">
        <is>
          <t>Écart budgétaire</t>
        </is>
      </c>
      <c r="B9" t="inlineStr">
        <is>
          <t>-1.9 %</t>
        </is>
      </c>
    </row>
    <row r="12">
      <c r="A12" s="5" t="inlineStr">
        <is>
          <t>Jalon</t>
        </is>
      </c>
      <c r="B12" s="5" t="inlineStr">
        <is>
          <t>Budget prévu</t>
        </is>
      </c>
      <c r="C12" s="5" t="inlineStr">
        <is>
          <t>Budget réel</t>
        </is>
      </c>
    </row>
    <row r="13">
      <c r="A13" t="inlineStr">
        <is>
          <t>Cadrage validé</t>
        </is>
      </c>
      <c r="B13" t="n">
        <v>2000</v>
      </c>
      <c r="C13" t="n">
        <v>2000</v>
      </c>
    </row>
    <row r="14">
      <c r="A14" t="inlineStr">
        <is>
          <t>Données consolidées</t>
        </is>
      </c>
      <c r="B14" t="n">
        <v>8000</v>
      </c>
      <c r="C14" t="n">
        <v>9200</v>
      </c>
    </row>
    <row r="15">
      <c r="A15" t="inlineStr">
        <is>
          <t>Premier modèle</t>
        </is>
      </c>
      <c r="B15" t="n">
        <v>10000</v>
      </c>
      <c r="C15" t="n">
        <v>9800</v>
      </c>
    </row>
    <row r="16">
      <c r="A16" t="inlineStr">
        <is>
          <t>Validation métier</t>
        </is>
      </c>
      <c r="B16" t="n">
        <v>6000</v>
      </c>
      <c r="C16" t="n">
        <v>4500</v>
      </c>
    </row>
    <row r="17">
      <c r="A17" t="inlineStr">
        <is>
          <t>Intégration CRM</t>
        </is>
      </c>
      <c r="B17" t="n">
        <v>12000</v>
      </c>
      <c r="C17" t="n">
        <v>0</v>
      </c>
    </row>
    <row r="18">
      <c r="A18" t="inlineStr">
        <is>
          <t>Bilan à 3 mois</t>
        </is>
      </c>
      <c r="B18" t="n">
        <v>2000</v>
      </c>
      <c r="C18" t="n">
        <v>0</v>
      </c>
    </row>
    <row r="21">
      <c r="A21" s="5" t="inlineStr">
        <is>
          <t>Statut</t>
        </is>
      </c>
      <c r="B21" s="5" t="inlineStr">
        <is>
          <t>Nombre de jalons</t>
        </is>
      </c>
    </row>
    <row r="22">
      <c r="A22" t="inlineStr">
        <is>
          <t>Terminé</t>
        </is>
      </c>
      <c r="B22" t="n">
        <v>3</v>
      </c>
    </row>
    <row r="23">
      <c r="A23" t="inlineStr">
        <is>
          <t>En retard</t>
        </is>
      </c>
      <c r="B23" t="n">
        <v>1</v>
      </c>
    </row>
    <row r="24">
      <c r="A24" t="inlineStr">
        <is>
          <t>À venir</t>
        </is>
      </c>
      <c r="B24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2026-09-21T12:02:50Z</dcterms:created>
  <dcterms:modified xmlns:dcterms="http://purl.org/dc/terms/" xmlns:xsi="http://www.w3.org/2001/XMLSchema-instance" xsi:type="dcterms:W3CDTF">2026-09-21T12:02:50Z</dcterms:modified>
</cp:coreProperties>
</file>